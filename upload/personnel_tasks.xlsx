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ورود کارها" sheetId="1" state="visible" r:id="rId1"/>
    <sheet xmlns:r="http://schemas.openxmlformats.org/officeDocument/2006/relationships" name="پرسنل" sheetId="2" state="visible" r:id="rId2"/>
    <sheet xmlns:r="http://schemas.openxmlformats.org/officeDocument/2006/relationships" name="داشبورد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YYYY-MM-DD"/>
    <numFmt numFmtId="166" formatCode="HH:MM"/>
    <numFmt numFmtId="167" formatCode="0.0"/>
    <numFmt numFmtId="168" formatCode="0.0%"/>
  </numFmts>
  <fonts count="12">
    <font>
      <name val="Calibri"/>
      <family val="2"/>
      <color theme="1"/>
      <sz val="11"/>
      <scheme val="minor"/>
    </font>
    <font>
      <name val="Noto Sans CJK SC"/>
      <color rgb="001B2A4A"/>
      <sz val="16"/>
    </font>
    <font>
      <name val="Noto Sans CJK SC"/>
      <color rgb="00FFFFFF"/>
      <sz val="11"/>
    </font>
    <font>
      <name val="Noto Sans CJK SC"/>
      <color rgb="0037352F"/>
      <sz val="11"/>
    </font>
    <font>
      <name val="Noto Sans CJK SC"/>
      <color rgb="008C8A84"/>
      <sz val="9"/>
    </font>
    <font>
      <name val="Noto Sans CJK SC"/>
      <color rgb="001B2A4A"/>
      <sz val="22"/>
    </font>
    <font>
      <name val="Noto Sans CJK SC"/>
      <color rgb="00D4820A"/>
      <sz val="22"/>
    </font>
    <font>
      <name val="Noto Sans CJK SC"/>
      <color rgb="001B7D46"/>
      <sz val="22"/>
    </font>
    <font>
      <name val="Noto Sans CJK SC"/>
      <color rgb="00C0392B"/>
      <sz val="22"/>
    </font>
    <font>
      <name val="Noto Sans CJK SC"/>
      <color rgb="001B2A4A"/>
      <sz val="11"/>
    </font>
    <font>
      <name val="Noto Sans CJK SC"/>
      <color rgb="001B2A4A"/>
      <sz val="14"/>
    </font>
    <font>
      <name val="Noto Sans CJK SC"/>
      <b val="1"/>
      <color rgb="001B2A4A"/>
      <sz val="11"/>
    </font>
  </fonts>
  <fills count="6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F7F7F5"/>
      </patternFill>
    </fill>
    <fill>
      <patternFill patternType="solid">
        <fgColor rgb="00D6E4F0"/>
      </patternFill>
    </fill>
  </fills>
  <borders count="3">
    <border>
      <left/>
      <right/>
      <top/>
      <bottom/>
      <diagonal/>
    </border>
    <border>
      <bottom style="thin">
        <color rgb="00E9E9E8"/>
      </bottom>
    </border>
    <border>
      <bottom style="medium">
        <color rgb="001B2A4A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readingOrder="2"/>
    </xf>
    <xf numFmtId="0" fontId="3" fillId="3" borderId="0" applyAlignment="1" pivotButton="0" quotePrefix="0" xfId="0">
      <alignment horizontal="right" vertical="center" readingOrder="2"/>
    </xf>
    <xf numFmtId="165" fontId="3" fillId="3" borderId="0" applyAlignment="1" pivotButton="0" quotePrefix="0" xfId="0">
      <alignment horizontal="center" vertical="center" readingOrder="2"/>
    </xf>
    <xf numFmtId="166" fontId="3" fillId="3" borderId="0" applyAlignment="1" pivotButton="0" quotePrefix="0" xfId="0">
      <alignment horizontal="center" vertical="center" readingOrder="2"/>
    </xf>
    <xf numFmtId="167" fontId="3" fillId="3" borderId="0" applyAlignment="1" pivotButton="0" quotePrefix="0" xfId="0">
      <alignment horizontal="center" vertical="center" readingOrder="2"/>
    </xf>
    <xf numFmtId="168" fontId="3" fillId="3" borderId="0" applyAlignment="1" pivotButton="0" quotePrefix="0" xfId="0">
      <alignment horizontal="center" vertical="center" readingOrder="2"/>
    </xf>
    <xf numFmtId="0" fontId="0" fillId="0" borderId="0" applyAlignment="1" pivotButton="0" quotePrefix="0" xfId="0">
      <alignment horizontal="right" vertical="center" wrapText="1" readingOrder="2"/>
    </xf>
    <xf numFmtId="0" fontId="3" fillId="4" borderId="0" applyAlignment="1" pivotButton="0" quotePrefix="0" xfId="0">
      <alignment horizontal="center" vertical="center" readingOrder="2"/>
    </xf>
    <xf numFmtId="0" fontId="3" fillId="4" borderId="0" applyAlignment="1" pivotButton="0" quotePrefix="0" xfId="0">
      <alignment horizontal="right" vertical="center" readingOrder="2"/>
    </xf>
    <xf numFmtId="165" fontId="3" fillId="4" borderId="0" applyAlignment="1" pivotButton="0" quotePrefix="0" xfId="0">
      <alignment horizontal="center" vertical="center" readingOrder="2"/>
    </xf>
    <xf numFmtId="166" fontId="3" fillId="4" borderId="0" applyAlignment="1" pivotButton="0" quotePrefix="0" xfId="0">
      <alignment horizontal="center" vertical="center" readingOrder="2"/>
    </xf>
    <xf numFmtId="167" fontId="3" fillId="4" borderId="0" applyAlignment="1" pivotButton="0" quotePrefix="0" xfId="0">
      <alignment horizontal="center" vertical="center" readingOrder="2"/>
    </xf>
    <xf numFmtId="168" fontId="3" fillId="4" borderId="0" applyAlignment="1" pivotButton="0" quotePrefix="0" xfId="0">
      <alignment horizontal="center" vertical="center" readingOrder="2"/>
    </xf>
    <xf numFmtId="0" fontId="4" fillId="4" borderId="0" applyAlignment="1" pivotButton="0" quotePrefix="0" xfId="0">
      <alignment horizontal="center" vertical="bottom" readingOrder="2"/>
    </xf>
    <xf numFmtId="0" fontId="0" fillId="4" borderId="0" pivotButton="0" quotePrefix="0" xfId="0"/>
    <xf numFmtId="0" fontId="5" fillId="3" borderId="2" applyAlignment="1" pivotButton="0" quotePrefix="0" xfId="0">
      <alignment horizontal="center" vertical="center" readingOrder="2"/>
    </xf>
    <xf numFmtId="0" fontId="0" fillId="3" borderId="2" pivotButton="0" quotePrefix="0" xfId="0"/>
    <xf numFmtId="0" fontId="6" fillId="3" borderId="2" applyAlignment="1" pivotButton="0" quotePrefix="0" xfId="0">
      <alignment horizontal="center" vertical="center" readingOrder="2"/>
    </xf>
    <xf numFmtId="0" fontId="7" fillId="3" borderId="2" applyAlignment="1" pivotButton="0" quotePrefix="0" xfId="0">
      <alignment horizontal="center" vertical="center" readingOrder="2"/>
    </xf>
    <xf numFmtId="0" fontId="8" fillId="3" borderId="2" applyAlignment="1" pivotButton="0" quotePrefix="0" xfId="0">
      <alignment horizontal="center" vertical="center" readingOrder="2"/>
    </xf>
    <xf numFmtId="0" fontId="9" fillId="0" borderId="0" applyAlignment="1" pivotButton="0" quotePrefix="0" xfId="0">
      <alignment horizontal="right" vertical="center" readingOrder="2"/>
    </xf>
    <xf numFmtId="0" fontId="10" fillId="0" borderId="0" applyAlignment="1" pivotButton="0" quotePrefix="0" xfId="0">
      <alignment horizontal="right" vertical="center" readingOrder="2"/>
    </xf>
    <xf numFmtId="0" fontId="11" fillId="5" borderId="0" applyAlignment="1" pivotButton="0" quotePrefix="0" xfId="0">
      <alignment horizontal="right" vertical="center" readingOrder="2"/>
    </xf>
    <xf numFmtId="0" fontId="0" fillId="5" borderId="0" pivotButton="0" quotePrefix="0" xfId="0"/>
    <xf numFmtId="164" fontId="3" fillId="3" borderId="0" applyAlignment="1" pivotButton="0" quotePrefix="0" xfId="0">
      <alignment horizontal="center" vertical="center" readingOrder="2"/>
    </xf>
    <xf numFmtId="0" fontId="3" fillId="3" borderId="0" applyAlignment="1" pivotButton="0" quotePrefix="0" xfId="0">
      <alignment horizontal="right" vertical="center" wrapText="1" readingOrder="2"/>
    </xf>
    <xf numFmtId="164" fontId="3" fillId="4" borderId="0" applyAlignment="1" pivotButton="0" quotePrefix="0" xfId="0">
      <alignment horizontal="center" vertical="center" readingOrder="2"/>
    </xf>
    <xf numFmtId="0" fontId="3" fillId="4" borderId="0" applyAlignment="1" pivotButton="0" quotePrefix="0" xfId="0">
      <alignment horizontal="right" vertical="center" wrapText="1" readingOrder="2"/>
    </xf>
  </cellXfs>
  <cellStyles count="1">
    <cellStyle name="Normal" xfId="0" builtinId="0" hidden="0"/>
  </cellStyles>
  <dxfs count="3">
    <dxf>
      <font>
        <color rgb="00D4820A"/>
      </font>
      <fill>
        <patternFill>
          <bgColor rgb="00FEF9E7"/>
        </patternFill>
      </fill>
    </dxf>
    <dxf>
      <font>
        <color rgb="001B7D46"/>
      </font>
      <fill>
        <patternFill>
          <bgColor rgb="00E8F5E9"/>
        </patternFill>
      </fill>
    </dxf>
    <dxf>
      <font>
        <color rgb="00C0392B"/>
      </font>
      <fill>
        <patternFill>
          <bgColor rgb="00FDED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 sz="1200" b="0">
                <a:latin typeface="Noto Sans CJK SC"/>
                <a:ea typeface="Noto Sans CJK SC"/>
              </a:defRPr>
            </a:pPr>
            <a:r>
              <a:rPr sz="1200" b="0">
                <a:latin typeface="Noto Sans CJK SC"/>
                <a:ea typeface="Noto Sans CJK SC"/>
              </a:rPr>
              <a:t>توزیع وضعیت کارها</a:t>
            </a:r>
          </a:p>
        </rich>
      </tx>
    </title>
    <plotArea>
      <pieChart>
        <varyColors val="1"/>
        <ser>
          <idx val="0"/>
          <order val="0"/>
          <tx>
            <strRef>
              <f>'داشبورد'!C9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1B2A4A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1B7D46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D4820A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cat>
            <numRef>
              <f>'داشبورد'!$B$10:$B$13</f>
            </numRef>
          </cat>
          <val>
            <numRef>
              <f>'داشبورد'!$C$10:$C$13</f>
            </numRef>
          </val>
        </ser>
        <dLbls>
          <dLblPos val="bestFit"/>
          <showVal val="0"/>
          <showCatName val="1"/>
          <showPercent val="1"/>
          <showLeaderLines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 sz="1200" b="0">
                <a:latin typeface="Noto Sans CJK SC"/>
                <a:ea typeface="Noto Sans CJK SC"/>
              </a:defRPr>
            </a:pPr>
            <a:r>
              <a:rPr sz="1200" b="0">
                <a:latin typeface="Noto Sans CJK SC"/>
                <a:ea typeface="Noto Sans CJK SC"/>
              </a:rPr>
              <a:t>تعداد کارها بر پرسنل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'داشبورد'!G9</f>
            </strRef>
          </tx>
          <spPr>
            <a:solidFill xmlns:a="http://schemas.openxmlformats.org/drawingml/2006/main">
              <a:srgbClr val="1B2A4A"/>
            </a:solidFill>
            <a:ln xmlns:a="http://schemas.openxmlformats.org/drawingml/2006/main">
              <a:solidFill>
                <a:srgbClr val="1B2A4A"/>
              </a:solidFill>
              <a:prstDash val="solid"/>
            </a:ln>
          </spPr>
          <cat>
            <numRef>
              <f>'داشبورد'!$F$10:$F$15</f>
            </numRef>
          </cat>
          <val>
            <numRef>
              <f>'داشبورد'!$G$10:$G$15</f>
            </numRef>
          </val>
        </ser>
        <ser>
          <idx val="1"/>
          <order val="1"/>
          <tx>
            <strRef>
              <f>'داشبورد'!H9</f>
            </strRef>
          </tx>
          <spPr>
            <a:solidFill xmlns:a="http://schemas.openxmlformats.org/drawingml/2006/main">
              <a:srgbClr val="1B7D46"/>
            </a:solidFill>
            <a:ln xmlns:a="http://schemas.openxmlformats.org/drawingml/2006/main">
              <a:solidFill>
                <a:srgbClr val="1B7D46"/>
              </a:solidFill>
              <a:prstDash val="solid"/>
            </a:ln>
          </spPr>
          <cat>
            <numRef>
              <f>'داشبورد'!$F$10:$F$15</f>
            </numRef>
          </cat>
          <val>
            <numRef>
              <f>'داشبورد'!$H$10:$H$15</f>
            </numRef>
          </val>
        </ser>
        <gapWidth val="8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 rot="-5400000"/>
              <a:p xmlns:a="http://schemas.openxmlformats.org/drawingml/2006/main">
                <a:pPr>
                  <a:defRPr sz="1000" b="0">
                    <a:latin typeface="Noto Sans CJK SC"/>
                    <a:ea typeface="Noto Sans CJK SC"/>
                  </a:defRPr>
                </a:pPr>
                <a:r>
                  <a:rPr sz="1000" b="0">
                    <a:latin typeface="Noto Sans CJK SC"/>
                    <a:ea typeface="Noto Sans CJK SC"/>
                  </a:rPr>
                  <a:t>تعداد</a:t>
                </a:r>
              </a:p>
            </rich>
          </tx>
          <txPr>
            <a:bodyPr xmlns:a="http://schemas.openxmlformats.org/drawingml/2006/main" rot="-5400000"/>
            <a:p xmlns:a="http://schemas.openxmlformats.org/drawingml/2006/main">
              <a:pPr>
                <a:defRPr sz="1000" b="0">
                  <a:latin typeface="Noto Sans CJK SC"/>
                  <a:ea typeface="Noto Sans CJK SC"/>
                </a:defRPr>
              </a:pPr>
              <a:r>
                <a:t/>
              </a:r>
            </a:p>
          </txPr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50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14</row>
      <rowOff>0</rowOff>
    </from>
    <ext cx="648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N54"/>
  <sheetViews>
    <sheetView showGridLines="0" rightToLeft="1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7" customWidth="1" min="2" max="2"/>
    <col width="18" customWidth="1" min="3" max="3"/>
    <col width="30" customWidth="1" min="4" max="4"/>
    <col width="20" customWidth="1" min="5" max="5"/>
    <col width="10" customWidth="1" min="6" max="6"/>
    <col width="14" customWidth="1" min="7" max="7"/>
    <col width="10" customWidth="1" min="8" max="8"/>
    <col width="14" customWidth="1" min="9" max="9"/>
    <col width="10" customWidth="1" min="10" max="10"/>
    <col width="14" customWidth="1" min="11" max="11"/>
    <col width="14" customWidth="1" min="12" max="12"/>
    <col width="12" customWidth="1" min="13" max="13"/>
    <col width="36" customWidth="1" min="14" max="14"/>
  </cols>
  <sheetData>
    <row r="1" ht="15" customHeight="1"/>
    <row r="2" ht="32" customHeight="1">
      <c r="B2" s="1" t="inlineStr">
        <is>
          <t>ثبت کارهای پرسنل</t>
        </is>
      </c>
    </row>
    <row r="3" ht="8" customHeight="1"/>
    <row r="4" ht="28" customHeight="1">
      <c r="B4" s="2" t="inlineStr">
        <is>
          <t>ردیف</t>
        </is>
      </c>
      <c r="C4" s="2" t="inlineStr">
        <is>
          <t>نام پرسنل</t>
        </is>
      </c>
      <c r="D4" s="2" t="inlineStr">
        <is>
          <t>عنوان کار</t>
        </is>
      </c>
      <c r="E4" s="2" t="inlineStr">
        <is>
          <t>دسته‌بندی</t>
        </is>
      </c>
      <c r="F4" s="2" t="inlineStr">
        <is>
          <t>اولویت</t>
        </is>
      </c>
      <c r="G4" s="2" t="inlineStr">
        <is>
          <t>تاریخ شروع</t>
        </is>
      </c>
      <c r="H4" s="2" t="inlineStr">
        <is>
          <t>ساعت شروع</t>
        </is>
      </c>
      <c r="I4" s="2" t="inlineStr">
        <is>
          <t>تاریخ پایان</t>
        </is>
      </c>
      <c r="J4" s="2" t="inlineStr">
        <is>
          <t>ساعت پایان</t>
        </is>
      </c>
      <c r="K4" s="2" t="inlineStr">
        <is>
          <t>مدت زمان (ساعت)</t>
        </is>
      </c>
      <c r="L4" s="2" t="inlineStr">
        <is>
          <t>وضعیت</t>
        </is>
      </c>
      <c r="M4" s="2" t="inlineStr">
        <is>
          <t>درصد پیشرفت</t>
        </is>
      </c>
      <c r="N4" t="inlineStr">
        <is>
          <t>توضیحات</t>
        </is>
      </c>
    </row>
    <row r="5" ht="22" customHeight="1">
      <c r="B5" s="3" t="n">
        <v>1</v>
      </c>
      <c r="C5" s="4" t="inlineStr">
        <is>
          <t>علی محمدی</t>
        </is>
      </c>
      <c r="D5" s="4" t="inlineStr">
        <is>
          <t>توسعه API کاربران</t>
        </is>
      </c>
      <c r="E5" s="4" t="inlineStr">
        <is>
          <t>توسعه نرم‌افزار</t>
        </is>
      </c>
      <c r="F5" s="3" t="inlineStr">
        <is>
          <t>بالا</t>
        </is>
      </c>
      <c r="G5" s="5" t="n">
        <v>45823</v>
      </c>
      <c r="H5" s="6" t="n">
        <v>0.375</v>
      </c>
      <c r="I5" s="5" t="n">
        <v>45833</v>
      </c>
      <c r="J5" s="6" t="n">
        <v>0.7083333333333334</v>
      </c>
      <c r="K5" s="7">
        <f>IF(OR(G5="",I5=""),"",IFERROR((I5+J5-G5-H5)*24,""))</f>
        <v/>
      </c>
      <c r="L5" s="3" t="inlineStr">
        <is>
          <t>در حال انجام</t>
        </is>
      </c>
      <c r="M5" s="8" t="n">
        <v>65</v>
      </c>
      <c r="N5" s="9" t="inlineStr">
        <is>
          <t>اتصال به دیتابیس و پیاده‌سازی CRUD</t>
        </is>
      </c>
    </row>
    <row r="6" ht="22" customHeight="1">
      <c r="B6" s="10" t="n">
        <v>2</v>
      </c>
      <c r="C6" s="11" t="inlineStr">
        <is>
          <t>علی محمدی</t>
        </is>
      </c>
      <c r="D6" s="11" t="inlineStr">
        <is>
          <t>رفع باگ صفحه لاگین</t>
        </is>
      </c>
      <c r="E6" s="11" t="inlineStr">
        <is>
          <t>توسعه نرم‌افزار</t>
        </is>
      </c>
      <c r="F6" s="10" t="inlineStr">
        <is>
          <t>بالا</t>
        </is>
      </c>
      <c r="G6" s="12" t="n">
        <v>45828</v>
      </c>
      <c r="H6" s="13" t="n">
        <v>0.4166666666666667</v>
      </c>
      <c r="I6" s="12" t="n">
        <v>45830</v>
      </c>
      <c r="J6" s="13" t="n">
        <v>0.5833333333333334</v>
      </c>
      <c r="K6" s="14">
        <f>IF(OR(G6="",I6=""),"",IFERROR((I6+J6-G6-H6)*24,""))</f>
        <v/>
      </c>
      <c r="L6" s="10" t="inlineStr">
        <is>
          <t>تکمیل شده</t>
        </is>
      </c>
      <c r="M6" s="15" t="n">
        <v>100</v>
      </c>
      <c r="N6" s="9" t="inlineStr">
        <is>
          <t>باگ نمایش خطای 500 برطرف شد</t>
        </is>
      </c>
    </row>
    <row r="7" ht="22" customHeight="1">
      <c r="B7" s="3" t="n">
        <v>3</v>
      </c>
      <c r="C7" s="4" t="inlineStr">
        <is>
          <t>زهرا احمدی</t>
        </is>
      </c>
      <c r="D7" s="4" t="inlineStr">
        <is>
          <t>طراحی داشبورد ادمین</t>
        </is>
      </c>
      <c r="E7" s="4" t="inlineStr">
        <is>
          <t>طراحی UI/UX</t>
        </is>
      </c>
      <c r="F7" s="3" t="inlineStr">
        <is>
          <t>بالا</t>
        </is>
      </c>
      <c r="G7" s="5" t="n">
        <v>45824</v>
      </c>
      <c r="H7" s="6" t="n">
        <v>0.375</v>
      </c>
      <c r="I7" s="5" t="n">
        <v>45836</v>
      </c>
      <c r="J7" s="6" t="n">
        <v>0.7083333333333334</v>
      </c>
      <c r="K7" s="7">
        <f>IF(OR(G7="",I7=""),"",IFERROR((I7+J7-G7-H7)*24,""))</f>
        <v/>
      </c>
      <c r="L7" s="3" t="inlineStr">
        <is>
          <t>در حال انجام</t>
        </is>
      </c>
      <c r="M7" s="8" t="n">
        <v>50</v>
      </c>
      <c r="N7" s="9" t="inlineStr">
        <is>
          <t>طراحی وایرفریم و پروتوتایپ اولیه</t>
        </is>
      </c>
    </row>
    <row r="8" ht="22" customHeight="1">
      <c r="B8" s="10" t="n">
        <v>4</v>
      </c>
      <c r="C8" s="11" t="inlineStr">
        <is>
          <t>زهرا احمدی</t>
        </is>
      </c>
      <c r="D8" s="11" t="inlineStr">
        <is>
          <t>طراحی صفحه محصول</t>
        </is>
      </c>
      <c r="E8" s="11" t="inlineStr">
        <is>
          <t>طراحی UI/UX</t>
        </is>
      </c>
      <c r="F8" s="10" t="inlineStr">
        <is>
          <t>متوسط</t>
        </is>
      </c>
      <c r="G8" s="12" t="n">
        <v>45818</v>
      </c>
      <c r="H8" s="13" t="n">
        <v>0.375</v>
      </c>
      <c r="I8" s="12" t="n">
        <v>45826</v>
      </c>
      <c r="J8" s="13" t="n">
        <v>0.7083333333333334</v>
      </c>
      <c r="K8" s="14">
        <f>IF(OR(G8="",I8=""),"",IFERROR((I8+J8-G8-H8)*24,""))</f>
        <v/>
      </c>
      <c r="L8" s="10" t="inlineStr">
        <is>
          <t>تکمیل شده</t>
        </is>
      </c>
      <c r="M8" s="15" t="n">
        <v>100</v>
      </c>
      <c r="N8" s="9" t="inlineStr">
        <is>
          <t>طراحی ریسپانسیو برای موبایل و دسکتاپ</t>
        </is>
      </c>
    </row>
    <row r="9" ht="22" customHeight="1">
      <c r="B9" s="3" t="n">
        <v>5</v>
      </c>
      <c r="C9" s="4" t="inlineStr">
        <is>
          <t>محمد رضایی</t>
        </is>
      </c>
      <c r="D9" s="4" t="inlineStr">
        <is>
          <t>کمپین تبلیغاتی تابستانه</t>
        </is>
      </c>
      <c r="E9" s="4" t="inlineStr">
        <is>
          <t>بازاریابی دیجیتال</t>
        </is>
      </c>
      <c r="F9" s="3" t="inlineStr">
        <is>
          <t>بالا</t>
        </is>
      </c>
      <c r="G9" s="5" t="n">
        <v>45826</v>
      </c>
      <c r="H9" s="6" t="n">
        <v>0.3333333333333333</v>
      </c>
      <c r="I9" s="5" t="n">
        <v>45843</v>
      </c>
      <c r="J9" s="6" t="n">
        <v>0.8333333333333334</v>
      </c>
      <c r="K9" s="7">
        <f>IF(OR(G9="",I9=""),"",IFERROR((I9+J9-G9-H9)*24,""))</f>
        <v/>
      </c>
      <c r="L9" s="3" t="inlineStr">
        <is>
          <t>در حال انجام</t>
        </is>
      </c>
      <c r="M9" s="8" t="n">
        <v>30</v>
      </c>
      <c r="N9" s="9" t="inlineStr">
        <is>
          <t>طراحی بنر و محتوای شبکه‌های اجتماعی</t>
        </is>
      </c>
    </row>
    <row r="10" ht="22" customHeight="1">
      <c r="B10" s="10" t="n">
        <v>6</v>
      </c>
      <c r="C10" s="11" t="inlineStr">
        <is>
          <t>محمد رضایی</t>
        </is>
      </c>
      <c r="D10" s="11" t="inlineStr">
        <is>
          <t>بهینه‌سازی سئو سایت</t>
        </is>
      </c>
      <c r="E10" s="11" t="inlineStr">
        <is>
          <t>بازاریابی دیجیتال</t>
        </is>
      </c>
      <c r="F10" s="10" t="inlineStr">
        <is>
          <t>متوسط</t>
        </is>
      </c>
      <c r="G10" s="12" t="n">
        <v>45820</v>
      </c>
      <c r="H10" s="13" t="n">
        <v>0.375</v>
      </c>
      <c r="I10" s="12" t="n">
        <v>45828</v>
      </c>
      <c r="J10" s="13" t="n">
        <v>0.7083333333333334</v>
      </c>
      <c r="K10" s="14">
        <f>IF(OR(G10="",I10=""),"",IFERROR((I10+J10-G10-H10)*24,""))</f>
        <v/>
      </c>
      <c r="L10" s="10" t="inlineStr">
        <is>
          <t>تکمیل شده</t>
        </is>
      </c>
      <c r="M10" s="15" t="n">
        <v>100</v>
      </c>
      <c r="N10" s="9" t="inlineStr">
        <is>
          <t>تحقیق کلمات کلیدی و بهینه‌سازی متاتگ‌ها</t>
        </is>
      </c>
    </row>
    <row r="11" ht="22" customHeight="1">
      <c r="B11" s="3" t="n">
        <v>7</v>
      </c>
      <c r="C11" s="4" t="inlineStr">
        <is>
          <t>فاطمه حسینی</t>
        </is>
      </c>
      <c r="D11" s="4" t="inlineStr">
        <is>
          <t>پاسخگویی تیکت‌ها</t>
        </is>
      </c>
      <c r="E11" s="4" t="inlineStr">
        <is>
          <t>پشتیبانی مشتری</t>
        </is>
      </c>
      <c r="F11" s="3" t="inlineStr">
        <is>
          <t>متوسط</t>
        </is>
      </c>
      <c r="G11" s="5" t="n">
        <v>45829</v>
      </c>
      <c r="H11" s="6" t="n">
        <v>0.3541666666666667</v>
      </c>
      <c r="I11" s="5" t="n">
        <v>45835</v>
      </c>
      <c r="J11" s="6" t="n">
        <v>0.6875</v>
      </c>
      <c r="K11" s="7">
        <f>IF(OR(G11="",I11=""),"",IFERROR((I11+J11-G11-H11)*24,""))</f>
        <v/>
      </c>
      <c r="L11" s="3" t="inlineStr">
        <is>
          <t>در حال انجام</t>
        </is>
      </c>
      <c r="M11" s="8" t="n">
        <v>70</v>
      </c>
      <c r="N11" s="9" t="inlineStr">
        <is>
          <t>باز کردن و پاسخ ۴۰ تیکت باز</t>
        </is>
      </c>
    </row>
    <row r="12" ht="22" customHeight="1">
      <c r="B12" s="10" t="n">
        <v>8</v>
      </c>
      <c r="C12" s="11" t="inlineStr">
        <is>
          <t>فاطمه حسینی</t>
        </is>
      </c>
      <c r="D12" s="11" t="inlineStr">
        <is>
          <t>به‌روزرسانی مستندات</t>
        </is>
      </c>
      <c r="E12" s="11" t="inlineStr">
        <is>
          <t>پشتیبانی مشتری</t>
        </is>
      </c>
      <c r="F12" s="10" t="inlineStr">
        <is>
          <t>پایین</t>
        </is>
      </c>
      <c r="G12" s="12" t="n">
        <v>45827</v>
      </c>
      <c r="H12" s="13" t="n">
        <v>0.375</v>
      </c>
      <c r="I12" s="12" t="n">
        <v>45834</v>
      </c>
      <c r="J12" s="13" t="n">
        <v>0.7083333333333334</v>
      </c>
      <c r="K12" s="14">
        <f>IF(OR(G12="",I12=""),"",IFERROR((I12+J12-G12-H12)*24,""))</f>
        <v/>
      </c>
      <c r="L12" s="10" t="inlineStr">
        <is>
          <t>در حال انجام</t>
        </is>
      </c>
      <c r="M12" s="15" t="n">
        <v>40</v>
      </c>
      <c r="N12" s="9" t="inlineStr">
        <is>
          <t>توضیحات FAQ و راهنمای استفاده</t>
        </is>
      </c>
    </row>
    <row r="13" ht="22" customHeight="1">
      <c r="B13" s="3" t="n">
        <v>9</v>
      </c>
      <c r="C13" s="4" t="inlineStr">
        <is>
          <t>حسین کریمی</t>
        </is>
      </c>
      <c r="D13" s="4" t="inlineStr">
        <is>
          <t>برنامه‌ریزی اسپرینت هفته آینده</t>
        </is>
      </c>
      <c r="E13" s="4" t="inlineStr">
        <is>
          <t>مدیریت پروژه</t>
        </is>
      </c>
      <c r="F13" s="3" t="inlineStr">
        <is>
          <t>بالا</t>
        </is>
      </c>
      <c r="G13" s="5" t="n">
        <v>45830</v>
      </c>
      <c r="H13" s="6" t="n">
        <v>0.375</v>
      </c>
      <c r="I13" s="5" t="n">
        <v>45832</v>
      </c>
      <c r="J13" s="6" t="n">
        <v>0.5</v>
      </c>
      <c r="K13" s="7">
        <f>IF(OR(G13="",I13=""),"",IFERROR((I13+J13-G13-H13)*24,""))</f>
        <v/>
      </c>
      <c r="L13" s="3" t="inlineStr">
        <is>
          <t>تکمیل شده</t>
        </is>
      </c>
      <c r="M13" s="8" t="n">
        <v>100</v>
      </c>
      <c r="N13" s="9" t="inlineStr">
        <is>
          <t>تعریف تسک‌ها و اختصاص به تیم</t>
        </is>
      </c>
    </row>
    <row r="14" ht="22" customHeight="1">
      <c r="B14" s="10" t="n">
        <v>10</v>
      </c>
      <c r="C14" s="11" t="inlineStr">
        <is>
          <t>حسین کریمی</t>
        </is>
      </c>
      <c r="D14" s="11" t="inlineStr">
        <is>
          <t>جلسه بررسی پروژه</t>
        </is>
      </c>
      <c r="E14" s="11" t="inlineStr">
        <is>
          <t>مدیریت پروژه</t>
        </is>
      </c>
      <c r="F14" s="10" t="inlineStr">
        <is>
          <t>متوسط</t>
        </is>
      </c>
      <c r="G14" s="12" t="n">
        <v>45833</v>
      </c>
      <c r="H14" s="13" t="n">
        <v>0.4166666666666667</v>
      </c>
      <c r="I14" s="12" t="n">
        <v>45833</v>
      </c>
      <c r="J14" s="13" t="n">
        <v>0.5</v>
      </c>
      <c r="K14" s="14">
        <f>IF(OR(G14="",I14=""),"",IFERROR((I14+J14-G14-H14)*24,""))</f>
        <v/>
      </c>
      <c r="L14" s="10" t="inlineStr">
        <is>
          <t>شروع نشده</t>
        </is>
      </c>
      <c r="M14" s="15" t="n">
        <v>0</v>
      </c>
      <c r="N14" s="9" t="inlineStr">
        <is>
          <t>ارائه گزارش پیشرفت به مدیریت</t>
        </is>
      </c>
    </row>
    <row r="15" ht="22" customHeight="1">
      <c r="B15" s="3" t="n">
        <v>11</v>
      </c>
      <c r="C15" s="4" t="inlineStr">
        <is>
          <t>مریم نوری</t>
        </is>
      </c>
      <c r="D15" s="4" t="inlineStr">
        <is>
          <t>تحلیل فروش ماهانه</t>
        </is>
      </c>
      <c r="E15" s="4" t="inlineStr">
        <is>
          <t>تحلیل داده</t>
        </is>
      </c>
      <c r="F15" s="3" t="inlineStr">
        <is>
          <t>بالا</t>
        </is>
      </c>
      <c r="G15" s="5" t="n">
        <v>45825</v>
      </c>
      <c r="H15" s="6" t="n">
        <v>0.375</v>
      </c>
      <c r="I15" s="5" t="n">
        <v>45832</v>
      </c>
      <c r="J15" s="6" t="n">
        <v>0.7083333333333334</v>
      </c>
      <c r="K15" s="7">
        <f>IF(OR(G15="",I15=""),"",IFERROR((I15+J15-G15-H15)*24,""))</f>
        <v/>
      </c>
      <c r="L15" s="3" t="inlineStr">
        <is>
          <t>در حال انجام</t>
        </is>
      </c>
      <c r="M15" s="8" t="n">
        <v>85</v>
      </c>
      <c r="N15" s="9" t="inlineStr">
        <is>
          <t>تهیه گزارش تحلیل فروش خرداد ۱۴۰۴</t>
        </is>
      </c>
    </row>
    <row r="16" ht="22" customHeight="1">
      <c r="B16" s="10" t="n">
        <v>12</v>
      </c>
      <c r="C16" s="11" t="inlineStr">
        <is>
          <t>مریم نوری</t>
        </is>
      </c>
      <c r="D16" s="11" t="inlineStr">
        <is>
          <t>داشبورد تحلیل عملکرد</t>
        </is>
      </c>
      <c r="E16" s="11" t="inlineStr">
        <is>
          <t>تحلیل داده</t>
        </is>
      </c>
      <c r="F16" s="10" t="inlineStr">
        <is>
          <t>متوسط</t>
        </is>
      </c>
      <c r="G16" s="12" t="n">
        <v>45828</v>
      </c>
      <c r="H16" s="13" t="n">
        <v>0.375</v>
      </c>
      <c r="I16" s="12" t="n">
        <v>45839</v>
      </c>
      <c r="J16" s="13" t="n">
        <v>0.7083333333333334</v>
      </c>
      <c r="K16" s="14">
        <f>IF(OR(G16="",I16=""),"",IFERROR((I16+J16-G16-H16)*24,""))</f>
        <v/>
      </c>
      <c r="L16" s="10" t="inlineStr">
        <is>
          <t>در حال انجام</t>
        </is>
      </c>
      <c r="M16" s="15" t="n">
        <v>25</v>
      </c>
      <c r="N16" s="9" t="inlineStr">
        <is>
          <t>طراحی Power BI و اتصال منابع داده</t>
        </is>
      </c>
    </row>
    <row r="17" ht="22" customHeight="1">
      <c r="B17" s="3" t="n">
        <v>13</v>
      </c>
      <c r="C17" s="4" t="inlineStr">
        <is>
          <t>علی محمدی</t>
        </is>
      </c>
      <c r="D17" s="4" t="inlineStr">
        <is>
          <t>تست جامع نسخه جدید</t>
        </is>
      </c>
      <c r="E17" s="4" t="inlineStr">
        <is>
          <t>توسعه نرم‌افزار</t>
        </is>
      </c>
      <c r="F17" s="3" t="inlineStr">
        <is>
          <t>بالا</t>
        </is>
      </c>
      <c r="G17" s="5" t="n">
        <v>45831</v>
      </c>
      <c r="H17" s="6" t="n">
        <v>0.375</v>
      </c>
      <c r="I17" s="5" t="n">
        <v>45838</v>
      </c>
      <c r="J17" s="6" t="n">
        <v>0.7083333333333334</v>
      </c>
      <c r="K17" s="7">
        <f>IF(OR(G17="",I17=""),"",IFERROR((I17+J17-G17-H17)*24,""))</f>
        <v/>
      </c>
      <c r="L17" s="3" t="inlineStr">
        <is>
          <t>شروع نشده</t>
        </is>
      </c>
      <c r="M17" s="8" t="n">
        <v>0</v>
      </c>
      <c r="N17" s="9" t="inlineStr">
        <is>
          <t>تست واحد و تست یکپارچگی</t>
        </is>
      </c>
    </row>
    <row r="18" ht="22" customHeight="1">
      <c r="B18" s="10" t="n">
        <v>14</v>
      </c>
      <c r="C18" s="11" t="inlineStr">
        <is>
          <t>زهرا احمدی</t>
        </is>
      </c>
      <c r="D18" s="11" t="inlineStr">
        <is>
          <t>طراحی اپلیکیشن موبایل</t>
        </is>
      </c>
      <c r="E18" s="11" t="inlineStr">
        <is>
          <t>طراحی UI/UX</t>
        </is>
      </c>
      <c r="F18" s="10" t="inlineStr">
        <is>
          <t>بالا</t>
        </is>
      </c>
      <c r="G18" s="12" t="n">
        <v>45832</v>
      </c>
      <c r="H18" s="13" t="n">
        <v>0.375</v>
      </c>
      <c r="I18" s="12" t="n">
        <v>45848</v>
      </c>
      <c r="J18" s="13" t="n">
        <v>0.7083333333333334</v>
      </c>
      <c r="K18" s="14">
        <f>IF(OR(G18="",I18=""),"",IFERROR((I18+J18-G18-H18)*24,""))</f>
        <v/>
      </c>
      <c r="L18" s="10" t="inlineStr">
        <is>
          <t>شروع نشده</t>
        </is>
      </c>
      <c r="M18" s="15" t="n">
        <v>0</v>
      </c>
      <c r="N18" s="9" t="inlineStr">
        <is>
          <t>طراحی صفحات اصلی اپلیکیشن iOS و Android</t>
        </is>
      </c>
    </row>
    <row r="19" ht="22" customHeight="1">
      <c r="B19" s="3" t="n">
        <v>15</v>
      </c>
      <c r="C19" s="4" t="inlineStr">
        <is>
          <t>محمد رضایی</t>
        </is>
      </c>
      <c r="D19" s="4" t="inlineStr">
        <is>
          <t>ایمیل مارکتینگ</t>
        </is>
      </c>
      <c r="E19" s="4" t="inlineStr">
        <is>
          <t>بازاریابی دیجیتال</t>
        </is>
      </c>
      <c r="F19" s="3" t="inlineStr">
        <is>
          <t>متوسط</t>
        </is>
      </c>
      <c r="G19" s="5" t="n">
        <v>45834</v>
      </c>
      <c r="H19" s="6" t="n">
        <v>0.3333333333333333</v>
      </c>
      <c r="I19" s="5" t="n">
        <v>45841</v>
      </c>
      <c r="J19" s="6" t="n">
        <v>0.8333333333333334</v>
      </c>
      <c r="K19" s="7">
        <f>IF(OR(G19="",I19=""),"",IFERROR((I19+J19-G19-H19)*24,""))</f>
        <v/>
      </c>
      <c r="L19" s="3" t="inlineStr">
        <is>
          <t>شروع نشده</t>
        </is>
      </c>
      <c r="M19" s="8" t="n">
        <v>0</v>
      </c>
      <c r="N19" s="9" t="inlineStr">
        <is>
          <t>طراحی و ارسال خبرنامه هفتگی</t>
        </is>
      </c>
    </row>
    <row r="20" ht="22" customHeight="1">
      <c r="B20" s="10" t="n">
        <v>16</v>
      </c>
      <c r="C20" s="11" t="n"/>
      <c r="D20" s="11" t="n"/>
      <c r="E20" s="11" t="n"/>
      <c r="F20" s="10" t="n"/>
      <c r="G20" s="12" t="n"/>
      <c r="H20" s="13" t="n"/>
      <c r="I20" s="12" t="n"/>
      <c r="J20" s="13" t="n"/>
      <c r="K20" s="14">
        <f>IF(OR(G20="",I20=""),"",IFERROR((I20+J20-G20-H20)*24,""))</f>
        <v/>
      </c>
      <c r="L20" s="10" t="n"/>
      <c r="M20" s="15" t="n"/>
      <c r="N20" s="9" t="n"/>
    </row>
    <row r="21" ht="22" customHeight="1">
      <c r="B21" s="3" t="n">
        <v>17</v>
      </c>
      <c r="C21" s="4" t="n"/>
      <c r="D21" s="4" t="n"/>
      <c r="E21" s="4" t="n"/>
      <c r="F21" s="3" t="n"/>
      <c r="G21" s="5" t="n"/>
      <c r="H21" s="6" t="n"/>
      <c r="I21" s="5" t="n"/>
      <c r="J21" s="6" t="n"/>
      <c r="K21" s="7">
        <f>IF(OR(G21="",I21=""),"",IFERROR((I21+J21-G21-H21)*24,""))</f>
        <v/>
      </c>
      <c r="L21" s="3" t="n"/>
      <c r="M21" s="8" t="n"/>
      <c r="N21" s="9" t="n"/>
    </row>
    <row r="22" ht="22" customHeight="1">
      <c r="B22" s="10" t="n">
        <v>18</v>
      </c>
      <c r="C22" s="11" t="n"/>
      <c r="D22" s="11" t="n"/>
      <c r="E22" s="11" t="n"/>
      <c r="F22" s="10" t="n"/>
      <c r="G22" s="12" t="n"/>
      <c r="H22" s="13" t="n"/>
      <c r="I22" s="12" t="n"/>
      <c r="J22" s="13" t="n"/>
      <c r="K22" s="14">
        <f>IF(OR(G22="",I22=""),"",IFERROR((I22+J22-G22-H22)*24,""))</f>
        <v/>
      </c>
      <c r="L22" s="10" t="n"/>
      <c r="M22" s="15" t="n"/>
      <c r="N22" s="9" t="n"/>
    </row>
    <row r="23" ht="22" customHeight="1">
      <c r="B23" s="3" t="n">
        <v>19</v>
      </c>
      <c r="C23" s="4" t="n"/>
      <c r="D23" s="4" t="n"/>
      <c r="E23" s="4" t="n"/>
      <c r="F23" s="3" t="n"/>
      <c r="G23" s="5" t="n"/>
      <c r="H23" s="6" t="n"/>
      <c r="I23" s="5" t="n"/>
      <c r="J23" s="6" t="n"/>
      <c r="K23" s="7">
        <f>IF(OR(G23="",I23=""),"",IFERROR((I23+J23-G23-H23)*24,""))</f>
        <v/>
      </c>
      <c r="L23" s="3" t="n"/>
      <c r="M23" s="8" t="n"/>
      <c r="N23" s="9" t="n"/>
    </row>
    <row r="24" ht="22" customHeight="1">
      <c r="B24" s="10" t="n">
        <v>20</v>
      </c>
      <c r="C24" s="11" t="n"/>
      <c r="D24" s="11" t="n"/>
      <c r="E24" s="11" t="n"/>
      <c r="F24" s="10" t="n"/>
      <c r="G24" s="12" t="n"/>
      <c r="H24" s="13" t="n"/>
      <c r="I24" s="12" t="n"/>
      <c r="J24" s="13" t="n"/>
      <c r="K24" s="14">
        <f>IF(OR(G24="",I24=""),"",IFERROR((I24+J24-G24-H24)*24,""))</f>
        <v/>
      </c>
      <c r="L24" s="10" t="n"/>
      <c r="M24" s="15" t="n"/>
      <c r="N24" s="9" t="n"/>
    </row>
    <row r="25" ht="22" customHeight="1">
      <c r="B25" s="3" t="n">
        <v>21</v>
      </c>
      <c r="C25" s="4" t="n"/>
      <c r="D25" s="4" t="n"/>
      <c r="E25" s="4" t="n"/>
      <c r="F25" s="3" t="n"/>
      <c r="G25" s="5" t="n"/>
      <c r="H25" s="6" t="n"/>
      <c r="I25" s="5" t="n"/>
      <c r="J25" s="6" t="n"/>
      <c r="K25" s="7">
        <f>IF(OR(G25="",I25=""),"",IFERROR((I25+J25-G25-H25)*24,""))</f>
        <v/>
      </c>
      <c r="L25" s="3" t="n"/>
      <c r="M25" s="8" t="n"/>
      <c r="N25" s="9" t="n"/>
    </row>
    <row r="26" ht="22" customHeight="1">
      <c r="B26" s="10" t="n">
        <v>22</v>
      </c>
      <c r="C26" s="11" t="n"/>
      <c r="D26" s="11" t="n"/>
      <c r="E26" s="11" t="n"/>
      <c r="F26" s="10" t="n"/>
      <c r="G26" s="12" t="n"/>
      <c r="H26" s="13" t="n"/>
      <c r="I26" s="12" t="n"/>
      <c r="J26" s="13" t="n"/>
      <c r="K26" s="14">
        <f>IF(OR(G26="",I26=""),"",IFERROR((I26+J26-G26-H26)*24,""))</f>
        <v/>
      </c>
      <c r="L26" s="10" t="n"/>
      <c r="M26" s="15" t="n"/>
      <c r="N26" s="9" t="n"/>
    </row>
    <row r="27" ht="22" customHeight="1">
      <c r="B27" s="3" t="n">
        <v>23</v>
      </c>
      <c r="C27" s="4" t="n"/>
      <c r="D27" s="4" t="n"/>
      <c r="E27" s="4" t="n"/>
      <c r="F27" s="3" t="n"/>
      <c r="G27" s="5" t="n"/>
      <c r="H27" s="6" t="n"/>
      <c r="I27" s="5" t="n"/>
      <c r="J27" s="6" t="n"/>
      <c r="K27" s="7">
        <f>IF(OR(G27="",I27=""),"",IFERROR((I27+J27-G27-H27)*24,""))</f>
        <v/>
      </c>
      <c r="L27" s="3" t="n"/>
      <c r="M27" s="8" t="n"/>
      <c r="N27" s="9" t="n"/>
    </row>
    <row r="28" ht="22" customHeight="1">
      <c r="B28" s="10" t="n">
        <v>24</v>
      </c>
      <c r="C28" s="11" t="n"/>
      <c r="D28" s="11" t="n"/>
      <c r="E28" s="11" t="n"/>
      <c r="F28" s="10" t="n"/>
      <c r="G28" s="12" t="n"/>
      <c r="H28" s="13" t="n"/>
      <c r="I28" s="12" t="n"/>
      <c r="J28" s="13" t="n"/>
      <c r="K28" s="14">
        <f>IF(OR(G28="",I28=""),"",IFERROR((I28+J28-G28-H28)*24,""))</f>
        <v/>
      </c>
      <c r="L28" s="10" t="n"/>
      <c r="M28" s="15" t="n"/>
      <c r="N28" s="9" t="n"/>
    </row>
    <row r="29" ht="22" customHeight="1">
      <c r="B29" s="3" t="n">
        <v>25</v>
      </c>
      <c r="C29" s="4" t="n"/>
      <c r="D29" s="4" t="n"/>
      <c r="E29" s="4" t="n"/>
      <c r="F29" s="3" t="n"/>
      <c r="G29" s="5" t="n"/>
      <c r="H29" s="6" t="n"/>
      <c r="I29" s="5" t="n"/>
      <c r="J29" s="6" t="n"/>
      <c r="K29" s="7">
        <f>IF(OR(G29="",I29=""),"",IFERROR((I29+J29-G29-H29)*24,""))</f>
        <v/>
      </c>
      <c r="L29" s="3" t="n"/>
      <c r="M29" s="8" t="n"/>
      <c r="N29" s="9" t="n"/>
    </row>
    <row r="30" ht="22" customHeight="1">
      <c r="B30" s="10" t="n">
        <v>26</v>
      </c>
      <c r="C30" s="11" t="n"/>
      <c r="D30" s="11" t="n"/>
      <c r="E30" s="11" t="n"/>
      <c r="F30" s="10" t="n"/>
      <c r="G30" s="12" t="n"/>
      <c r="H30" s="13" t="n"/>
      <c r="I30" s="12" t="n"/>
      <c r="J30" s="13" t="n"/>
      <c r="K30" s="14">
        <f>IF(OR(G30="",I30=""),"",IFERROR((I30+J30-G30-H30)*24,""))</f>
        <v/>
      </c>
      <c r="L30" s="10" t="n"/>
      <c r="M30" s="15" t="n"/>
      <c r="N30" s="9" t="n"/>
    </row>
    <row r="31" ht="22" customHeight="1">
      <c r="B31" s="3" t="n">
        <v>27</v>
      </c>
      <c r="C31" s="4" t="n"/>
      <c r="D31" s="4" t="n"/>
      <c r="E31" s="4" t="n"/>
      <c r="F31" s="3" t="n"/>
      <c r="G31" s="5" t="n"/>
      <c r="H31" s="6" t="n"/>
      <c r="I31" s="5" t="n"/>
      <c r="J31" s="6" t="n"/>
      <c r="K31" s="7">
        <f>IF(OR(G31="",I31=""),"",IFERROR((I31+J31-G31-H31)*24,""))</f>
        <v/>
      </c>
      <c r="L31" s="3" t="n"/>
      <c r="M31" s="8" t="n"/>
      <c r="N31" s="9" t="n"/>
    </row>
    <row r="32" ht="22" customHeight="1">
      <c r="B32" s="10" t="n">
        <v>28</v>
      </c>
      <c r="C32" s="11" t="n"/>
      <c r="D32" s="11" t="n"/>
      <c r="E32" s="11" t="n"/>
      <c r="F32" s="10" t="n"/>
      <c r="G32" s="12" t="n"/>
      <c r="H32" s="13" t="n"/>
      <c r="I32" s="12" t="n"/>
      <c r="J32" s="13" t="n"/>
      <c r="K32" s="14">
        <f>IF(OR(G32="",I32=""),"",IFERROR((I32+J32-G32-H32)*24,""))</f>
        <v/>
      </c>
      <c r="L32" s="10" t="n"/>
      <c r="M32" s="15" t="n"/>
      <c r="N32" s="9" t="n"/>
    </row>
    <row r="33" ht="22" customHeight="1">
      <c r="B33" s="3" t="n">
        <v>29</v>
      </c>
      <c r="C33" s="4" t="n"/>
      <c r="D33" s="4" t="n"/>
      <c r="E33" s="4" t="n"/>
      <c r="F33" s="3" t="n"/>
      <c r="G33" s="5" t="n"/>
      <c r="H33" s="6" t="n"/>
      <c r="I33" s="5" t="n"/>
      <c r="J33" s="6" t="n"/>
      <c r="K33" s="7">
        <f>IF(OR(G33="",I33=""),"",IFERROR((I33+J33-G33-H33)*24,""))</f>
        <v/>
      </c>
      <c r="L33" s="3" t="n"/>
      <c r="M33" s="8" t="n"/>
      <c r="N33" s="9" t="n"/>
    </row>
    <row r="34" ht="22" customHeight="1">
      <c r="B34" s="10" t="n">
        <v>30</v>
      </c>
      <c r="C34" s="11" t="n"/>
      <c r="D34" s="11" t="n"/>
      <c r="E34" s="11" t="n"/>
      <c r="F34" s="10" t="n"/>
      <c r="G34" s="12" t="n"/>
      <c r="H34" s="13" t="n"/>
      <c r="I34" s="12" t="n"/>
      <c r="J34" s="13" t="n"/>
      <c r="K34" s="14">
        <f>IF(OR(G34="",I34=""),"",IFERROR((I34+J34-G34-H34)*24,""))</f>
        <v/>
      </c>
      <c r="L34" s="10" t="n"/>
      <c r="M34" s="15" t="n"/>
      <c r="N34" s="9" t="n"/>
    </row>
    <row r="35" ht="22" customHeight="1">
      <c r="B35" s="3" t="n">
        <v>31</v>
      </c>
      <c r="C35" s="4" t="n"/>
      <c r="D35" s="4" t="n"/>
      <c r="E35" s="4" t="n"/>
      <c r="F35" s="3" t="n"/>
      <c r="G35" s="5" t="n"/>
      <c r="H35" s="6" t="n"/>
      <c r="I35" s="5" t="n"/>
      <c r="J35" s="6" t="n"/>
      <c r="K35" s="7">
        <f>IF(OR(G35="",I35=""),"",IFERROR((I35+J35-G35-H35)*24,""))</f>
        <v/>
      </c>
      <c r="L35" s="3" t="n"/>
      <c r="M35" s="8" t="n"/>
      <c r="N35" s="9" t="n"/>
    </row>
    <row r="36" ht="22" customHeight="1">
      <c r="B36" s="10" t="n">
        <v>32</v>
      </c>
      <c r="C36" s="11" t="n"/>
      <c r="D36" s="11" t="n"/>
      <c r="E36" s="11" t="n"/>
      <c r="F36" s="10" t="n"/>
      <c r="G36" s="12" t="n"/>
      <c r="H36" s="13" t="n"/>
      <c r="I36" s="12" t="n"/>
      <c r="J36" s="13" t="n"/>
      <c r="K36" s="14">
        <f>IF(OR(G36="",I36=""),"",IFERROR((I36+J36-G36-H36)*24,""))</f>
        <v/>
      </c>
      <c r="L36" s="10" t="n"/>
      <c r="M36" s="15" t="n"/>
      <c r="N36" s="9" t="n"/>
    </row>
    <row r="37" ht="22" customHeight="1">
      <c r="B37" s="3" t="n">
        <v>33</v>
      </c>
      <c r="C37" s="4" t="n"/>
      <c r="D37" s="4" t="n"/>
      <c r="E37" s="4" t="n"/>
      <c r="F37" s="3" t="n"/>
      <c r="G37" s="5" t="n"/>
      <c r="H37" s="6" t="n"/>
      <c r="I37" s="5" t="n"/>
      <c r="J37" s="6" t="n"/>
      <c r="K37" s="7">
        <f>IF(OR(G37="",I37=""),"",IFERROR((I37+J37-G37-H37)*24,""))</f>
        <v/>
      </c>
      <c r="L37" s="3" t="n"/>
      <c r="M37" s="8" t="n"/>
      <c r="N37" s="9" t="n"/>
    </row>
    <row r="38" ht="22" customHeight="1">
      <c r="B38" s="10" t="n">
        <v>34</v>
      </c>
      <c r="C38" s="11" t="n"/>
      <c r="D38" s="11" t="n"/>
      <c r="E38" s="11" t="n"/>
      <c r="F38" s="10" t="n"/>
      <c r="G38" s="12" t="n"/>
      <c r="H38" s="13" t="n"/>
      <c r="I38" s="12" t="n"/>
      <c r="J38" s="13" t="n"/>
      <c r="K38" s="14">
        <f>IF(OR(G38="",I38=""),"",IFERROR((I38+J38-G38-H38)*24,""))</f>
        <v/>
      </c>
      <c r="L38" s="10" t="n"/>
      <c r="M38" s="15" t="n"/>
      <c r="N38" s="9" t="n"/>
    </row>
    <row r="39" ht="22" customHeight="1">
      <c r="B39" s="3" t="n">
        <v>35</v>
      </c>
      <c r="C39" s="4" t="n"/>
      <c r="D39" s="4" t="n"/>
      <c r="E39" s="4" t="n"/>
      <c r="F39" s="3" t="n"/>
      <c r="G39" s="5" t="n"/>
      <c r="H39" s="6" t="n"/>
      <c r="I39" s="5" t="n"/>
      <c r="J39" s="6" t="n"/>
      <c r="K39" s="7">
        <f>IF(OR(G39="",I39=""),"",IFERROR((I39+J39-G39-H39)*24,""))</f>
        <v/>
      </c>
      <c r="L39" s="3" t="n"/>
      <c r="M39" s="8" t="n"/>
      <c r="N39" s="9" t="n"/>
    </row>
    <row r="40" ht="22" customHeight="1">
      <c r="B40" s="10" t="n">
        <v>36</v>
      </c>
      <c r="C40" s="11" t="n"/>
      <c r="D40" s="11" t="n"/>
      <c r="E40" s="11" t="n"/>
      <c r="F40" s="10" t="n"/>
      <c r="G40" s="12" t="n"/>
      <c r="H40" s="13" t="n"/>
      <c r="I40" s="12" t="n"/>
      <c r="J40" s="13" t="n"/>
      <c r="K40" s="14">
        <f>IF(OR(G40="",I40=""),"",IFERROR((I40+J40-G40-H40)*24,""))</f>
        <v/>
      </c>
      <c r="L40" s="10" t="n"/>
      <c r="M40" s="15" t="n"/>
      <c r="N40" s="9" t="n"/>
    </row>
    <row r="41" ht="22" customHeight="1">
      <c r="B41" s="3" t="n">
        <v>37</v>
      </c>
      <c r="C41" s="4" t="n"/>
      <c r="D41" s="4" t="n"/>
      <c r="E41" s="4" t="n"/>
      <c r="F41" s="3" t="n"/>
      <c r="G41" s="5" t="n"/>
      <c r="H41" s="6" t="n"/>
      <c r="I41" s="5" t="n"/>
      <c r="J41" s="6" t="n"/>
      <c r="K41" s="7">
        <f>IF(OR(G41="",I41=""),"",IFERROR((I41+J41-G41-H41)*24,""))</f>
        <v/>
      </c>
      <c r="L41" s="3" t="n"/>
      <c r="M41" s="8" t="n"/>
      <c r="N41" s="9" t="n"/>
    </row>
    <row r="42" ht="22" customHeight="1">
      <c r="B42" s="10" t="n">
        <v>38</v>
      </c>
      <c r="C42" s="11" t="n"/>
      <c r="D42" s="11" t="n"/>
      <c r="E42" s="11" t="n"/>
      <c r="F42" s="10" t="n"/>
      <c r="G42" s="12" t="n"/>
      <c r="H42" s="13" t="n"/>
      <c r="I42" s="12" t="n"/>
      <c r="J42" s="13" t="n"/>
      <c r="K42" s="14">
        <f>IF(OR(G42="",I42=""),"",IFERROR((I42+J42-G42-H42)*24,""))</f>
        <v/>
      </c>
      <c r="L42" s="10" t="n"/>
      <c r="M42" s="15" t="n"/>
      <c r="N42" s="9" t="n"/>
    </row>
    <row r="43" ht="22" customHeight="1">
      <c r="B43" s="3" t="n">
        <v>39</v>
      </c>
      <c r="C43" s="4" t="n"/>
      <c r="D43" s="4" t="n"/>
      <c r="E43" s="4" t="n"/>
      <c r="F43" s="3" t="n"/>
      <c r="G43" s="5" t="n"/>
      <c r="H43" s="6" t="n"/>
      <c r="I43" s="5" t="n"/>
      <c r="J43" s="6" t="n"/>
      <c r="K43" s="7">
        <f>IF(OR(G43="",I43=""),"",IFERROR((I43+J43-G43-H43)*24,""))</f>
        <v/>
      </c>
      <c r="L43" s="3" t="n"/>
      <c r="M43" s="8" t="n"/>
      <c r="N43" s="9" t="n"/>
    </row>
    <row r="44" ht="22" customHeight="1">
      <c r="B44" s="10" t="n">
        <v>40</v>
      </c>
      <c r="C44" s="11" t="n"/>
      <c r="D44" s="11" t="n"/>
      <c r="E44" s="11" t="n"/>
      <c r="F44" s="10" t="n"/>
      <c r="G44" s="12" t="n"/>
      <c r="H44" s="13" t="n"/>
      <c r="I44" s="12" t="n"/>
      <c r="J44" s="13" t="n"/>
      <c r="K44" s="14">
        <f>IF(OR(G44="",I44=""),"",IFERROR((I44+J44-G44-H44)*24,""))</f>
        <v/>
      </c>
      <c r="L44" s="10" t="n"/>
      <c r="M44" s="15" t="n"/>
      <c r="N44" s="9" t="n"/>
    </row>
    <row r="45" ht="22" customHeight="1">
      <c r="B45" s="3" t="n">
        <v>41</v>
      </c>
      <c r="C45" s="4" t="n"/>
      <c r="D45" s="4" t="n"/>
      <c r="E45" s="4" t="n"/>
      <c r="F45" s="3" t="n"/>
      <c r="G45" s="5" t="n"/>
      <c r="H45" s="6" t="n"/>
      <c r="I45" s="5" t="n"/>
      <c r="J45" s="6" t="n"/>
      <c r="K45" s="7">
        <f>IF(OR(G45="",I45=""),"",IFERROR((I45+J45-G45-H45)*24,""))</f>
        <v/>
      </c>
      <c r="L45" s="3" t="n"/>
      <c r="M45" s="8" t="n"/>
      <c r="N45" s="9" t="n"/>
    </row>
    <row r="46" ht="22" customHeight="1">
      <c r="B46" s="10" t="n">
        <v>42</v>
      </c>
      <c r="C46" s="11" t="n"/>
      <c r="D46" s="11" t="n"/>
      <c r="E46" s="11" t="n"/>
      <c r="F46" s="10" t="n"/>
      <c r="G46" s="12" t="n"/>
      <c r="H46" s="13" t="n"/>
      <c r="I46" s="12" t="n"/>
      <c r="J46" s="13" t="n"/>
      <c r="K46" s="14">
        <f>IF(OR(G46="",I46=""),"",IFERROR((I46+J46-G46-H46)*24,""))</f>
        <v/>
      </c>
      <c r="L46" s="10" t="n"/>
      <c r="M46" s="15" t="n"/>
      <c r="N46" s="9" t="n"/>
    </row>
    <row r="47" ht="22" customHeight="1">
      <c r="B47" s="3" t="n">
        <v>43</v>
      </c>
      <c r="C47" s="4" t="n"/>
      <c r="D47" s="4" t="n"/>
      <c r="E47" s="4" t="n"/>
      <c r="F47" s="3" t="n"/>
      <c r="G47" s="5" t="n"/>
      <c r="H47" s="6" t="n"/>
      <c r="I47" s="5" t="n"/>
      <c r="J47" s="6" t="n"/>
      <c r="K47" s="7">
        <f>IF(OR(G47="",I47=""),"",IFERROR((I47+J47-G47-H47)*24,""))</f>
        <v/>
      </c>
      <c r="L47" s="3" t="n"/>
      <c r="M47" s="8" t="n"/>
      <c r="N47" s="9" t="n"/>
    </row>
    <row r="48" ht="22" customHeight="1">
      <c r="B48" s="10" t="n">
        <v>44</v>
      </c>
      <c r="C48" s="11" t="n"/>
      <c r="D48" s="11" t="n"/>
      <c r="E48" s="11" t="n"/>
      <c r="F48" s="10" t="n"/>
      <c r="G48" s="12" t="n"/>
      <c r="H48" s="13" t="n"/>
      <c r="I48" s="12" t="n"/>
      <c r="J48" s="13" t="n"/>
      <c r="K48" s="14">
        <f>IF(OR(G48="",I48=""),"",IFERROR((I48+J48-G48-H48)*24,""))</f>
        <v/>
      </c>
      <c r="L48" s="10" t="n"/>
      <c r="M48" s="15" t="n"/>
      <c r="N48" s="9" t="n"/>
    </row>
    <row r="49" ht="22" customHeight="1">
      <c r="B49" s="3" t="n">
        <v>45</v>
      </c>
      <c r="C49" s="4" t="n"/>
      <c r="D49" s="4" t="n"/>
      <c r="E49" s="4" t="n"/>
      <c r="F49" s="3" t="n"/>
      <c r="G49" s="5" t="n"/>
      <c r="H49" s="6" t="n"/>
      <c r="I49" s="5" t="n"/>
      <c r="J49" s="6" t="n"/>
      <c r="K49" s="7">
        <f>IF(OR(G49="",I49=""),"",IFERROR((I49+J49-G49-H49)*24,""))</f>
        <v/>
      </c>
      <c r="L49" s="3" t="n"/>
      <c r="M49" s="8" t="n"/>
      <c r="N49" s="9" t="n"/>
    </row>
    <row r="50" ht="22" customHeight="1">
      <c r="B50" s="10" t="n">
        <v>46</v>
      </c>
      <c r="C50" s="11" t="n"/>
      <c r="D50" s="11" t="n"/>
      <c r="E50" s="11" t="n"/>
      <c r="F50" s="10" t="n"/>
      <c r="G50" s="12" t="n"/>
      <c r="H50" s="13" t="n"/>
      <c r="I50" s="12" t="n"/>
      <c r="J50" s="13" t="n"/>
      <c r="K50" s="14">
        <f>IF(OR(G50="",I50=""),"",IFERROR((I50+J50-G50-H50)*24,""))</f>
        <v/>
      </c>
      <c r="L50" s="10" t="n"/>
      <c r="M50" s="15" t="n"/>
      <c r="N50" s="9" t="n"/>
    </row>
    <row r="51" ht="22" customHeight="1">
      <c r="B51" s="3" t="n">
        <v>47</v>
      </c>
      <c r="C51" s="4" t="n"/>
      <c r="D51" s="4" t="n"/>
      <c r="E51" s="4" t="n"/>
      <c r="F51" s="3" t="n"/>
      <c r="G51" s="5" t="n"/>
      <c r="H51" s="6" t="n"/>
      <c r="I51" s="5" t="n"/>
      <c r="J51" s="6" t="n"/>
      <c r="K51" s="7">
        <f>IF(OR(G51="",I51=""),"",IFERROR((I51+J51-G51-H51)*24,""))</f>
        <v/>
      </c>
      <c r="L51" s="3" t="n"/>
      <c r="M51" s="8" t="n"/>
      <c r="N51" s="9" t="n"/>
    </row>
    <row r="52" ht="22" customHeight="1">
      <c r="B52" s="10" t="n">
        <v>48</v>
      </c>
      <c r="C52" s="11" t="n"/>
      <c r="D52" s="11" t="n"/>
      <c r="E52" s="11" t="n"/>
      <c r="F52" s="10" t="n"/>
      <c r="G52" s="12" t="n"/>
      <c r="H52" s="13" t="n"/>
      <c r="I52" s="12" t="n"/>
      <c r="J52" s="13" t="n"/>
      <c r="K52" s="14">
        <f>IF(OR(G52="",I52=""),"",IFERROR((I52+J52-G52-H52)*24,""))</f>
        <v/>
      </c>
      <c r="L52" s="10" t="n"/>
      <c r="M52" s="15" t="n"/>
      <c r="N52" s="9" t="n"/>
    </row>
    <row r="53" ht="22" customHeight="1">
      <c r="B53" s="3" t="n">
        <v>49</v>
      </c>
      <c r="C53" s="4" t="n"/>
      <c r="D53" s="4" t="n"/>
      <c r="E53" s="4" t="n"/>
      <c r="F53" s="3" t="n"/>
      <c r="G53" s="5" t="n"/>
      <c r="H53" s="6" t="n"/>
      <c r="I53" s="5" t="n"/>
      <c r="J53" s="6" t="n"/>
      <c r="K53" s="7">
        <f>IF(OR(G53="",I53=""),"",IFERROR((I53+J53-G53-H53)*24,""))</f>
        <v/>
      </c>
      <c r="L53" s="3" t="n"/>
      <c r="M53" s="8" t="n"/>
      <c r="N53" s="9" t="n"/>
    </row>
    <row r="54" ht="22" customHeight="1">
      <c r="B54" s="10" t="n">
        <v>50</v>
      </c>
      <c r="C54" s="11" t="n"/>
      <c r="D54" s="11" t="n"/>
      <c r="E54" s="11" t="n"/>
      <c r="F54" s="10" t="n"/>
      <c r="G54" s="12" t="n"/>
      <c r="H54" s="13" t="n"/>
      <c r="I54" s="12" t="n"/>
      <c r="J54" s="13" t="n"/>
      <c r="K54" s="14">
        <f>IF(OR(G54="",I54=""),"",IFERROR((I54+J54-G54-H54)*24,""))</f>
        <v/>
      </c>
      <c r="L54" s="10" t="n"/>
      <c r="M54" s="15" t="n"/>
      <c r="N54" s="9" t="n"/>
    </row>
  </sheetData>
  <mergeCells count="1">
    <mergeCell ref="B2:M2"/>
  </mergeCells>
  <conditionalFormatting sqref="L5:L54">
    <cfRule type="cellIs" priority="1" operator="equal" dxfId="0">
      <formula>"در حال انجام"</formula>
    </cfRule>
    <cfRule type="cellIs" priority="2" operator="equal" dxfId="1">
      <formula>"تکمیل شده"</formula>
    </cfRule>
    <cfRule type="cellIs" priority="3" operator="equal" dxfId="2">
      <formula>"متوقف شده"</formula>
    </cfRule>
  </conditionalFormatting>
  <conditionalFormatting sqref="M5:M54">
    <cfRule type="dataBar" priority="4">
      <dataBar showValue="1">
        <cfvo type="num" val="0"/>
        <cfvo type="num" val="100"/>
        <color rgb="001B2A4A"/>
      </dataBar>
    </cfRule>
  </conditionalFormatting>
  <dataValidations count="5">
    <dataValidation sqref="C5:C54" showDropDown="0" showInputMessage="1" showErrorMessage="0" allowBlank="1" promptTitle="انتخاب پرسنل" prompt="نام پرسنل را انتخاب کنید" type="list">
      <formula1>'پرسنل'!$C$5:$C$10</formula1>
    </dataValidation>
    <dataValidation sqref="E5:E54" showDropDown="0" showInputMessage="1" showErrorMessage="0" allowBlank="1" promptTitle="دسته‌بندی" prompt="دسته‌بندی کار را انتخاب کنید" type="list">
      <formula1>"توسعه نرم‌افزار,طراحی UI/UX,بازاریابی دیجیتال,پشتیبانی مشتری,مدیریت پروژه,تحلیل داده"</formula1>
    </dataValidation>
    <dataValidation sqref="F5:F54" showDropDown="0" showInputMessage="0" showErrorMessage="0" allowBlank="1" type="list">
      <formula1>"بالا,متوسط,پایین"</formula1>
    </dataValidation>
    <dataValidation sqref="L5:L54" showDropDown="0" showInputMessage="0" showErrorMessage="0" allowBlank="1" type="list">
      <formula1>"در حال انجام,تکمیل شده,متوقف شده,شروع نشده"</formula1>
    </dataValidation>
    <dataValidation sqref="M5:M54" showDropDown="0" showInputMessage="0" showErrorMessage="1" allowBlank="1" errorTitle="مقدار نامعتبر" error="مقدار باید بین 0 تا 100 باشد" type="whole" operator="between">
      <formula1>0</formula1>
      <formula2>100</formula2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10"/>
  <sheetViews>
    <sheetView showGridLines="0" rightToLeft="1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4" customWidth="1" min="3" max="3"/>
    <col width="22" customWidth="1" min="4" max="4"/>
  </cols>
  <sheetData>
    <row r="1" ht="15" customHeight="1"/>
    <row r="2" ht="32" customHeight="1">
      <c r="B2" s="1" t="inlineStr">
        <is>
          <t>لیست پرسنل</t>
        </is>
      </c>
    </row>
    <row r="3" ht="8" customHeight="1"/>
    <row r="4" ht="28" customHeight="1">
      <c r="B4" s="2" t="inlineStr">
        <is>
          <t>ردیف</t>
        </is>
      </c>
      <c r="C4" s="2" t="inlineStr">
        <is>
          <t>نام و نام خانوادگی</t>
        </is>
      </c>
      <c r="D4" s="2" t="inlineStr">
        <is>
          <t>نقش</t>
        </is>
      </c>
    </row>
    <row r="5" ht="22" customHeight="1">
      <c r="B5" s="3" t="n">
        <v>1</v>
      </c>
      <c r="C5" s="4" t="inlineStr">
        <is>
          <t>علی محمدی</t>
        </is>
      </c>
      <c r="D5" s="4" t="inlineStr">
        <is>
          <t>توسعه‌دهنده ارشد</t>
        </is>
      </c>
    </row>
    <row r="6" ht="22" customHeight="1">
      <c r="B6" s="10" t="n">
        <v>2</v>
      </c>
      <c r="C6" s="11" t="inlineStr">
        <is>
          <t>زهرا احمدی</t>
        </is>
      </c>
      <c r="D6" s="11" t="inlineStr">
        <is>
          <t>طراح UI/UX</t>
        </is>
      </c>
    </row>
    <row r="7" ht="22" customHeight="1">
      <c r="B7" s="3" t="n">
        <v>3</v>
      </c>
      <c r="C7" s="4" t="inlineStr">
        <is>
          <t>محمد رضایی</t>
        </is>
      </c>
      <c r="D7" s="4" t="inlineStr">
        <is>
          <t>متخصص بازاریابی</t>
        </is>
      </c>
    </row>
    <row r="8" ht="22" customHeight="1">
      <c r="B8" s="10" t="n">
        <v>4</v>
      </c>
      <c r="C8" s="11" t="inlineStr">
        <is>
          <t>فاطمه حسینی</t>
        </is>
      </c>
      <c r="D8" s="11" t="inlineStr">
        <is>
          <t>کارشناس پشتیبانی</t>
        </is>
      </c>
    </row>
    <row r="9" ht="22" customHeight="1">
      <c r="B9" s="3" t="n">
        <v>5</v>
      </c>
      <c r="C9" s="4" t="inlineStr">
        <is>
          <t>حسین کریمی</t>
        </is>
      </c>
      <c r="D9" s="4" t="inlineStr">
        <is>
          <t>مدیر پروژه</t>
        </is>
      </c>
    </row>
    <row r="10" ht="22" customHeight="1">
      <c r="B10" s="10" t="n">
        <v>6</v>
      </c>
      <c r="C10" s="11" t="inlineStr">
        <is>
          <t>مریم نوری</t>
        </is>
      </c>
      <c r="D10" s="11" t="inlineStr">
        <is>
          <t>تحلیلگر داده</t>
        </is>
      </c>
    </row>
  </sheetData>
  <mergeCells count="1">
    <mergeCell ref="B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P45"/>
  <sheetViews>
    <sheetView showGridLines="0" rightToLeft="1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18" customWidth="1" min="3" max="3"/>
    <col width="28" customWidth="1" min="4" max="4"/>
    <col width="20" customWidth="1" min="5" max="5"/>
    <col width="12" customWidth="1" min="6" max="6"/>
    <col width="14" customWidth="1" min="7" max="7"/>
    <col width="14" customWidth="1" min="8" max="8"/>
    <col width="14" customWidth="1" min="9" max="9"/>
    <col width="12" customWidth="1" min="10" max="10"/>
    <col width="14" customWidth="1" min="11" max="11"/>
    <col width="12" customWidth="1" min="12" max="12"/>
    <col width="12" customWidth="1" min="13" max="13"/>
    <col width="16" customWidth="1" min="14" max="14"/>
  </cols>
  <sheetData>
    <row r="1" ht="15" customHeight="1"/>
    <row r="2" ht="32" customHeight="1">
      <c r="B2" s="1" t="inlineStr">
        <is>
          <t>داشبورد مدیریت کارها</t>
        </is>
      </c>
    </row>
    <row r="3" ht="8" customHeight="1"/>
    <row r="4" ht="20" customHeight="1">
      <c r="B4" s="16" t="inlineStr">
        <is>
          <t>کل کارها</t>
        </is>
      </c>
      <c r="C4" s="17" t="n"/>
      <c r="D4" s="17" t="n"/>
      <c r="F4" s="16" t="inlineStr">
        <is>
          <t>در حال انجام</t>
        </is>
      </c>
      <c r="G4" s="17" t="n"/>
      <c r="H4" s="17" t="n"/>
      <c r="J4" s="16" t="inlineStr">
        <is>
          <t>تکمیل شده</t>
        </is>
      </c>
      <c r="K4" s="17" t="n"/>
      <c r="L4" s="17" t="n"/>
      <c r="N4" s="16" t="inlineStr">
        <is>
          <t>متوقف / شروع نشده</t>
        </is>
      </c>
      <c r="O4" s="17" t="n"/>
      <c r="P4" s="17" t="n"/>
    </row>
    <row r="5" ht="42" customHeight="1">
      <c r="B5" s="18">
        <f>COUNTIF('ورود کارها'!L5:L54,"&lt;&gt;"&amp;"")</f>
        <v/>
      </c>
      <c r="C5" s="19" t="n"/>
      <c r="D5" s="19" t="n"/>
      <c r="F5" s="20">
        <f>COUNTIF('ورود کارها'!L5:L54,"در حال انجام")</f>
        <v/>
      </c>
      <c r="G5" s="19" t="n"/>
      <c r="H5" s="19" t="n"/>
      <c r="J5" s="21">
        <f>COUNTIF('ورود کارها'!L5:L54,"تکمیل شده")</f>
        <v/>
      </c>
      <c r="K5" s="19" t="n"/>
      <c r="L5" s="19" t="n"/>
      <c r="N5" s="22">
        <f>COUNTIF('ورود کارها'!L5:L54,"متوقف شده")+COUNTIF('ورود کارها'!L5:L54,"شروع نشده")</f>
        <v/>
      </c>
      <c r="O5" s="19" t="n"/>
      <c r="P5" s="19" t="n"/>
    </row>
    <row r="8" ht="24" customHeight="1">
      <c r="B8" s="23" t="inlineStr">
        <is>
          <t>توزیع وضعیت کارها</t>
        </is>
      </c>
      <c r="F8" s="23" t="inlineStr">
        <is>
          <t>تعداد کارها بر پرسنل</t>
        </is>
      </c>
    </row>
    <row r="9" ht="28" customHeight="1">
      <c r="B9" s="2" t="inlineStr">
        <is>
          <t>وضعیت</t>
        </is>
      </c>
      <c r="C9" s="2" t="inlineStr">
        <is>
          <t>تعداد</t>
        </is>
      </c>
      <c r="F9" s="2" t="inlineStr">
        <is>
          <t>نام پرسنل</t>
        </is>
      </c>
      <c r="G9" s="2" t="inlineStr">
        <is>
          <t>کل کارها</t>
        </is>
      </c>
      <c r="H9" s="2" t="inlineStr">
        <is>
          <t>در حال انجام</t>
        </is>
      </c>
    </row>
    <row r="10" ht="22" customHeight="1">
      <c r="B10" s="4" t="inlineStr">
        <is>
          <t>در حال انجام</t>
        </is>
      </c>
      <c r="C10" s="3">
        <f>COUNTIF('ورود کارها'!L5:L54,"در حال انجام")</f>
        <v/>
      </c>
      <c r="F10" s="4" t="inlineStr">
        <is>
          <t>علی محمدی</t>
        </is>
      </c>
      <c r="G10" s="3">
        <f>COUNTIF('ورود کارها'!C5:C54,F10)</f>
        <v/>
      </c>
      <c r="H10" s="3">
        <f>COUNTIFS('ورود کارها'!C5:C54,F10,'ورود کارها'!L5:L54,"در حال انجام")</f>
        <v/>
      </c>
    </row>
    <row r="11" ht="22" customHeight="1">
      <c r="B11" s="11" t="inlineStr">
        <is>
          <t>تکمیل شده</t>
        </is>
      </c>
      <c r="C11" s="10">
        <f>COUNTIF('ورود کارها'!L5:L54,"تکمیل شده")</f>
        <v/>
      </c>
      <c r="F11" s="11" t="inlineStr">
        <is>
          <t>زهرا احمدی</t>
        </is>
      </c>
      <c r="G11" s="10">
        <f>COUNTIF('ورود کارها'!C5:C54,F11)</f>
        <v/>
      </c>
      <c r="H11" s="10">
        <f>COUNTIFS('ورود کارها'!C5:C54,F11,'ورود کارها'!L5:L54,"در حال انجام")</f>
        <v/>
      </c>
    </row>
    <row r="12" ht="22" customHeight="1">
      <c r="B12" s="4" t="inlineStr">
        <is>
          <t>متوقف شده</t>
        </is>
      </c>
      <c r="C12" s="3">
        <f>COUNTIF('ورود کارها'!L5:L54,"متوقف شده")</f>
        <v/>
      </c>
      <c r="F12" s="4" t="inlineStr">
        <is>
          <t>محمد رضایی</t>
        </is>
      </c>
      <c r="G12" s="3">
        <f>COUNTIF('ورود کارها'!C5:C54,F12)</f>
        <v/>
      </c>
      <c r="H12" s="3">
        <f>COUNTIFS('ورود کارها'!C5:C54,F12,'ورود کارها'!L5:L54,"در حال انجام")</f>
        <v/>
      </c>
    </row>
    <row r="13" ht="22" customHeight="1">
      <c r="B13" s="11" t="inlineStr">
        <is>
          <t>شروع نشده</t>
        </is>
      </c>
      <c r="C13" s="10">
        <f>COUNTIF('ورود کارها'!L5:L54,"شروع نشده")</f>
        <v/>
      </c>
      <c r="F13" s="11" t="inlineStr">
        <is>
          <t>فاطمه حسینی</t>
        </is>
      </c>
      <c r="G13" s="10">
        <f>COUNTIF('ورود کارها'!C5:C54,F13)</f>
        <v/>
      </c>
      <c r="H13" s="10">
        <f>COUNTIFS('ورود کارها'!C5:C54,F13,'ورود کارها'!L5:L54,"در حال انجام")</f>
        <v/>
      </c>
    </row>
    <row r="14" ht="22" customHeight="1">
      <c r="F14" s="4" t="inlineStr">
        <is>
          <t>حسین کریمی</t>
        </is>
      </c>
      <c r="G14" s="3">
        <f>COUNTIF('ورود کارها'!C5:C54,F14)</f>
        <v/>
      </c>
      <c r="H14" s="3">
        <f>COUNTIFS('ورود کارها'!C5:C54,F14,'ورود کارها'!L5:L54,"در حال انجام")</f>
        <v/>
      </c>
    </row>
    <row r="15" ht="22" customHeight="1">
      <c r="F15" s="11" t="inlineStr">
        <is>
          <t>مریم نوری</t>
        </is>
      </c>
      <c r="G15" s="10">
        <f>COUNTIF('ورود کارها'!C5:C54,F15)</f>
        <v/>
      </c>
      <c r="H15" s="10">
        <f>COUNTIFS('ورود کارها'!C5:C54,F15,'ورود کارها'!L5:L54,"در حال انجام")</f>
        <v/>
      </c>
    </row>
    <row r="32" ht="30" customHeight="1">
      <c r="B32" s="24" t="inlineStr">
        <is>
          <t>کارهای در حال انجام بر پرسنل</t>
        </is>
      </c>
    </row>
    <row r="33" ht="28" customHeight="1">
      <c r="B33" s="2" t="inlineStr">
        <is>
          <t>ردیف</t>
        </is>
      </c>
      <c r="C33" s="2" t="inlineStr">
        <is>
          <t>نام پرسنل</t>
        </is>
      </c>
      <c r="D33" s="2" t="inlineStr">
        <is>
          <t>عنوان کار</t>
        </is>
      </c>
      <c r="E33" s="2" t="inlineStr">
        <is>
          <t>دسته‌بندی</t>
        </is>
      </c>
      <c r="F33" s="2" t="inlineStr">
        <is>
          <t>اولویت</t>
        </is>
      </c>
      <c r="G33" s="2" t="inlineStr">
        <is>
          <t>تاریخ شروع</t>
        </is>
      </c>
      <c r="H33" s="2" t="inlineStr">
        <is>
          <t>تاریخ پایان</t>
        </is>
      </c>
      <c r="I33" s="2" t="inlineStr">
        <is>
          <t>مدت زمان</t>
        </is>
      </c>
      <c r="J33" s="2" t="inlineStr">
        <is>
          <t>درصد پیشرفت</t>
        </is>
      </c>
      <c r="K33" s="2" t="inlineStr">
        <is>
          <t>توضیحات</t>
        </is>
      </c>
    </row>
    <row r="34" ht="24" customHeight="1">
      <c r="B34" s="25" t="inlineStr">
        <is>
          <t>●  علی محمدی</t>
        </is>
      </c>
      <c r="C34" s="26" t="n"/>
      <c r="D34" s="26" t="n"/>
      <c r="E34" s="26" t="n"/>
      <c r="F34" s="26" t="n"/>
      <c r="G34" s="26" t="n"/>
      <c r="H34" s="26" t="n"/>
      <c r="I34" s="26" t="n"/>
      <c r="J34" s="26" t="n"/>
      <c r="K34" s="26" t="n"/>
    </row>
    <row r="35" ht="22" customHeight="1">
      <c r="B35" s="3" t="n">
        <v>1</v>
      </c>
      <c r="C35" s="4" t="inlineStr">
        <is>
          <t>علی محمدی</t>
        </is>
      </c>
      <c r="D35" s="4" t="inlineStr">
        <is>
          <t>توسعه API کاربران</t>
        </is>
      </c>
      <c r="E35" s="4" t="inlineStr">
        <is>
          <t>توسعه نرم‌افزار</t>
        </is>
      </c>
      <c r="F35" s="3" t="inlineStr">
        <is>
          <t>بالا</t>
        </is>
      </c>
      <c r="G35" s="27" t="n">
        <v>45823</v>
      </c>
      <c r="H35" s="27" t="n">
        <v>45833</v>
      </c>
      <c r="I35" s="7" t="n">
        <v>248</v>
      </c>
      <c r="J35" s="8" t="n">
        <v>0.65</v>
      </c>
      <c r="K35" s="28" t="inlineStr">
        <is>
          <t>اتصال به دیتابیس و پیاده‌سازی CRUD</t>
        </is>
      </c>
    </row>
    <row r="36" ht="24" customHeight="1">
      <c r="B36" s="25" t="inlineStr">
        <is>
          <t>●  زهرا احمدی</t>
        </is>
      </c>
      <c r="C36" s="26" t="n"/>
      <c r="D36" s="26" t="n"/>
      <c r="E36" s="26" t="n"/>
      <c r="F36" s="26" t="n"/>
      <c r="G36" s="26" t="n"/>
      <c r="H36" s="26" t="n"/>
      <c r="I36" s="26" t="n"/>
      <c r="J36" s="26" t="n"/>
      <c r="K36" s="26" t="n"/>
    </row>
    <row r="37" ht="22" customHeight="1">
      <c r="B37" s="10" t="n">
        <v>2</v>
      </c>
      <c r="C37" s="11" t="inlineStr">
        <is>
          <t>زهرا احمدی</t>
        </is>
      </c>
      <c r="D37" s="11" t="inlineStr">
        <is>
          <t>طراحی داشبورد ادمین</t>
        </is>
      </c>
      <c r="E37" s="11" t="inlineStr">
        <is>
          <t>طراحی UI/UX</t>
        </is>
      </c>
      <c r="F37" s="10" t="inlineStr">
        <is>
          <t>بالا</t>
        </is>
      </c>
      <c r="G37" s="29" t="n">
        <v>45824</v>
      </c>
      <c r="H37" s="29" t="n">
        <v>45836</v>
      </c>
      <c r="I37" s="14" t="n">
        <v>296</v>
      </c>
      <c r="J37" s="15" t="n">
        <v>0.5</v>
      </c>
      <c r="K37" s="30" t="inlineStr">
        <is>
          <t>طراحی وایرفریم و پروتوتایپ اولیه</t>
        </is>
      </c>
    </row>
    <row r="38" ht="24" customHeight="1">
      <c r="B38" s="25" t="inlineStr">
        <is>
          <t>●  محمد رضایی</t>
        </is>
      </c>
      <c r="C38" s="26" t="n"/>
      <c r="D38" s="26" t="n"/>
      <c r="E38" s="26" t="n"/>
      <c r="F38" s="26" t="n"/>
      <c r="G38" s="26" t="n"/>
      <c r="H38" s="26" t="n"/>
      <c r="I38" s="26" t="n"/>
      <c r="J38" s="26" t="n"/>
      <c r="K38" s="26" t="n"/>
    </row>
    <row r="39" ht="22" customHeight="1">
      <c r="B39" s="3" t="n">
        <v>3</v>
      </c>
      <c r="C39" s="4" t="inlineStr">
        <is>
          <t>محمد رضایی</t>
        </is>
      </c>
      <c r="D39" s="4" t="inlineStr">
        <is>
          <t>کمپین تبلیغاتی تابستانه</t>
        </is>
      </c>
      <c r="E39" s="4" t="inlineStr">
        <is>
          <t>بازاریابی دیجیتال</t>
        </is>
      </c>
      <c r="F39" s="3" t="inlineStr">
        <is>
          <t>بالا</t>
        </is>
      </c>
      <c r="G39" s="27" t="n">
        <v>45826</v>
      </c>
      <c r="H39" s="27" t="n">
        <v>45843</v>
      </c>
      <c r="I39" s="7" t="n">
        <v>420</v>
      </c>
      <c r="J39" s="8" t="n">
        <v>0.3</v>
      </c>
      <c r="K39" s="28" t="inlineStr">
        <is>
          <t>طراحی بنر و محتوای شبکه‌های اجتماعی</t>
        </is>
      </c>
    </row>
    <row r="40" ht="24" customHeight="1">
      <c r="B40" s="25" t="inlineStr">
        <is>
          <t>●  فاطمه حسینی</t>
        </is>
      </c>
      <c r="C40" s="26" t="n"/>
      <c r="D40" s="26" t="n"/>
      <c r="E40" s="26" t="n"/>
      <c r="F40" s="26" t="n"/>
      <c r="G40" s="26" t="n"/>
      <c r="H40" s="26" t="n"/>
      <c r="I40" s="26" t="n"/>
      <c r="J40" s="26" t="n"/>
      <c r="K40" s="26" t="n"/>
    </row>
    <row r="41" ht="22" customHeight="1">
      <c r="B41" s="10" t="n">
        <v>4</v>
      </c>
      <c r="C41" s="11" t="inlineStr">
        <is>
          <t>فاطمه حسینی</t>
        </is>
      </c>
      <c r="D41" s="11" t="inlineStr">
        <is>
          <t>پاسخگویی تیکت‌ها</t>
        </is>
      </c>
      <c r="E41" s="11" t="inlineStr">
        <is>
          <t>پشتیبانی مشتری</t>
        </is>
      </c>
      <c r="F41" s="10" t="inlineStr">
        <is>
          <t>متوسط</t>
        </is>
      </c>
      <c r="G41" s="29" t="n">
        <v>45829</v>
      </c>
      <c r="H41" s="29" t="n">
        <v>45835</v>
      </c>
      <c r="I41" s="14" t="n">
        <v>152</v>
      </c>
      <c r="J41" s="15" t="n">
        <v>0.7</v>
      </c>
      <c r="K41" s="30" t="inlineStr">
        <is>
          <t>باز کردن و پاسخ ۴۰ تیکت باز</t>
        </is>
      </c>
    </row>
    <row r="42" ht="22" customHeight="1">
      <c r="B42" s="3" t="n">
        <v>5</v>
      </c>
      <c r="C42" s="4" t="inlineStr">
        <is>
          <t>فاطمه حسینی</t>
        </is>
      </c>
      <c r="D42" s="4" t="inlineStr">
        <is>
          <t>به‌روزرسانی مستندات</t>
        </is>
      </c>
      <c r="E42" s="4" t="inlineStr">
        <is>
          <t>پشتیبانی مشتری</t>
        </is>
      </c>
      <c r="F42" s="3" t="inlineStr">
        <is>
          <t>پایین</t>
        </is>
      </c>
      <c r="G42" s="27" t="n">
        <v>45827</v>
      </c>
      <c r="H42" s="27" t="n">
        <v>45834</v>
      </c>
      <c r="I42" s="7" t="n">
        <v>176</v>
      </c>
      <c r="J42" s="8" t="n">
        <v>0.4</v>
      </c>
      <c r="K42" s="28" t="inlineStr">
        <is>
          <t>توضیحات FAQ و راهنمای استفاده</t>
        </is>
      </c>
    </row>
    <row r="43" ht="24" customHeight="1">
      <c r="B43" s="25" t="inlineStr">
        <is>
          <t>●  مریم نوری</t>
        </is>
      </c>
      <c r="C43" s="26" t="n"/>
      <c r="D43" s="26" t="n"/>
      <c r="E43" s="26" t="n"/>
      <c r="F43" s="26" t="n"/>
      <c r="G43" s="26" t="n"/>
      <c r="H43" s="26" t="n"/>
      <c r="I43" s="26" t="n"/>
      <c r="J43" s="26" t="n"/>
      <c r="K43" s="26" t="n"/>
    </row>
    <row r="44" ht="22" customHeight="1">
      <c r="B44" s="10" t="n">
        <v>6</v>
      </c>
      <c r="C44" s="11" t="inlineStr">
        <is>
          <t>مریم نوری</t>
        </is>
      </c>
      <c r="D44" s="11" t="inlineStr">
        <is>
          <t>تحلیل فروش ماهانه</t>
        </is>
      </c>
      <c r="E44" s="11" t="inlineStr">
        <is>
          <t>تحلیل داده</t>
        </is>
      </c>
      <c r="F44" s="10" t="inlineStr">
        <is>
          <t>بالا</t>
        </is>
      </c>
      <c r="G44" s="29" t="n">
        <v>45825</v>
      </c>
      <c r="H44" s="29" t="n">
        <v>45832</v>
      </c>
      <c r="I44" s="14" t="n">
        <v>176</v>
      </c>
      <c r="J44" s="15" t="n">
        <v>0.85</v>
      </c>
      <c r="K44" s="30" t="inlineStr">
        <is>
          <t>تهیه گزارش تحلیل فروش خرداد ۱۴۰۴</t>
        </is>
      </c>
    </row>
    <row r="45" ht="22" customHeight="1">
      <c r="B45" s="3" t="n">
        <v>7</v>
      </c>
      <c r="C45" s="4" t="inlineStr">
        <is>
          <t>مریم نوری</t>
        </is>
      </c>
      <c r="D45" s="4" t="inlineStr">
        <is>
          <t>داشبورد تحلیل عملکرد</t>
        </is>
      </c>
      <c r="E45" s="4" t="inlineStr">
        <is>
          <t>تحلیل داده</t>
        </is>
      </c>
      <c r="F45" s="3" t="inlineStr">
        <is>
          <t>متوسط</t>
        </is>
      </c>
      <c r="G45" s="27" t="n">
        <v>45828</v>
      </c>
      <c r="H45" s="27" t="n">
        <v>45839</v>
      </c>
      <c r="I45" s="7" t="n">
        <v>272</v>
      </c>
      <c r="J45" s="8" t="n">
        <v>0.25</v>
      </c>
      <c r="K45" s="28" t="inlineStr">
        <is>
          <t>طراحی Power BI و اتصال منابع داده</t>
        </is>
      </c>
    </row>
  </sheetData>
  <mergeCells count="17">
    <mergeCell ref="J5:L5"/>
    <mergeCell ref="B5:D5"/>
    <mergeCell ref="B8:E8"/>
    <mergeCell ref="F5:H5"/>
    <mergeCell ref="F8:I8"/>
    <mergeCell ref="B32:N32"/>
    <mergeCell ref="B40:K40"/>
    <mergeCell ref="B4:D4"/>
    <mergeCell ref="N5:P5"/>
    <mergeCell ref="B43:K43"/>
    <mergeCell ref="F4:H4"/>
    <mergeCell ref="J4:L4"/>
    <mergeCell ref="B38:K38"/>
    <mergeCell ref="N4:P4"/>
    <mergeCell ref="B34:K34"/>
    <mergeCell ref="B2:N2"/>
    <mergeCell ref="B36:K36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2026-06-23T09:47:58Z</dcterms:created>
  <dcterms:modified xmlns:dcterms="http://purl.org/dc/terms/" xmlns:xsi="http://www.w3.org/2001/XMLSchema-instance" xsi:type="dcterms:W3CDTF">2026-06-23T09:47:58Z</dcterms:modified>
</cp:coreProperties>
</file>